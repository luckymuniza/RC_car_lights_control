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_work\_Projects\_RC\rc_car_control\"/>
    </mc:Choice>
  </mc:AlternateContent>
  <bookViews>
    <workbookView xWindow="0" yWindow="0" windowWidth="28780" windowHeight="12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1" i="1" l="1"/>
  <c r="T21" i="1" s="1"/>
  <c r="W21" i="1"/>
  <c r="X21" i="1"/>
  <c r="AE21" i="1"/>
  <c r="AF21" i="1" s="1"/>
  <c r="AE25" i="1"/>
  <c r="AF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K24" i="1"/>
  <c r="L24" i="1" s="1"/>
  <c r="K23" i="1"/>
  <c r="L23" i="1" s="1"/>
  <c r="L22" i="1"/>
  <c r="K22" i="1"/>
  <c r="L21" i="1"/>
  <c r="K21" i="1"/>
  <c r="K20" i="1"/>
  <c r="L20" i="1" s="1"/>
  <c r="K19" i="1"/>
  <c r="L19" i="1" s="1"/>
  <c r="L18" i="1"/>
  <c r="K18" i="1"/>
  <c r="L17" i="1"/>
  <c r="K17" i="1"/>
  <c r="AA21" i="1"/>
  <c r="AB21" i="1" s="1"/>
  <c r="O21" i="1"/>
  <c r="P21" i="1" s="1"/>
  <c r="O24" i="1"/>
  <c r="P24" i="1" s="1"/>
  <c r="P23" i="1"/>
  <c r="O23" i="1"/>
  <c r="P22" i="1"/>
  <c r="O22" i="1"/>
  <c r="O20" i="1"/>
  <c r="P20" i="1" s="1"/>
  <c r="O19" i="1"/>
  <c r="P19" i="1" s="1"/>
  <c r="O18" i="1"/>
  <c r="P18" i="1" s="1"/>
  <c r="P17" i="1"/>
  <c r="O17" i="1"/>
  <c r="AE24" i="1"/>
  <c r="AF24" i="1" s="1"/>
  <c r="AE23" i="1"/>
  <c r="AF23" i="1" s="1"/>
  <c r="AE22" i="1"/>
  <c r="AF22" i="1" s="1"/>
  <c r="AE20" i="1"/>
  <c r="AF20" i="1" s="1"/>
  <c r="AE19" i="1"/>
  <c r="AF19" i="1" s="1"/>
  <c r="AE18" i="1"/>
  <c r="AF18" i="1" s="1"/>
  <c r="AE17" i="1"/>
  <c r="AF17" i="1" s="1"/>
  <c r="AA25" i="1"/>
  <c r="AA24" i="1"/>
  <c r="AB24" i="1" s="1"/>
  <c r="AA23" i="1"/>
  <c r="AB23" i="1" s="1"/>
  <c r="AA22" i="1"/>
  <c r="AB22" i="1" s="1"/>
  <c r="AA20" i="1"/>
  <c r="AB20" i="1" s="1"/>
  <c r="AB19" i="1"/>
  <c r="AA19" i="1"/>
  <c r="AA18" i="1"/>
  <c r="AB18" i="1" s="1"/>
  <c r="AA17" i="1"/>
  <c r="AB17" i="1" s="1"/>
  <c r="W25" i="1"/>
  <c r="W24" i="1"/>
  <c r="X24" i="1" s="1"/>
  <c r="X23" i="1"/>
  <c r="W23" i="1"/>
  <c r="W22" i="1"/>
  <c r="X22" i="1" s="1"/>
  <c r="W20" i="1"/>
  <c r="X20" i="1" s="1"/>
  <c r="W19" i="1"/>
  <c r="X19" i="1" s="1"/>
  <c r="X18" i="1"/>
  <c r="W18" i="1"/>
  <c r="X17" i="1"/>
  <c r="W17" i="1"/>
  <c r="T17" i="1"/>
  <c r="T18" i="1"/>
  <c r="T19" i="1"/>
  <c r="T20" i="1"/>
  <c r="T22" i="1"/>
  <c r="T23" i="1"/>
  <c r="T24" i="1"/>
  <c r="S17" i="1"/>
  <c r="S18" i="1"/>
  <c r="S19" i="1"/>
  <c r="S20" i="1"/>
  <c r="S22" i="1"/>
  <c r="S23" i="1"/>
  <c r="S24" i="1"/>
  <c r="S25" i="1"/>
</calcChain>
</file>

<file path=xl/sharedStrings.xml><?xml version="1.0" encoding="utf-8"?>
<sst xmlns="http://schemas.openxmlformats.org/spreadsheetml/2006/main" count="29" uniqueCount="23">
  <si>
    <t>inf</t>
  </si>
  <si>
    <t>S3/13</t>
  </si>
  <si>
    <t>S1/15</t>
  </si>
  <si>
    <t>S0/17</t>
  </si>
  <si>
    <t>REV/18</t>
  </si>
  <si>
    <t>BR/19</t>
  </si>
  <si>
    <t>TA/19</t>
  </si>
  <si>
    <t>DR/21</t>
  </si>
  <si>
    <t>DL/22</t>
  </si>
  <si>
    <t>S2/20</t>
  </si>
  <si>
    <t>U</t>
  </si>
  <si>
    <t>I</t>
  </si>
  <si>
    <t>R</t>
  </si>
  <si>
    <t>Ur</t>
  </si>
  <si>
    <t>Ur/R=I</t>
  </si>
  <si>
    <t>(Ufree - Ur)/I</t>
  </si>
  <si>
    <t>BRake/19</t>
  </si>
  <si>
    <t>rear/19</t>
  </si>
  <si>
    <t>smerR/21</t>
  </si>
  <si>
    <t>smerL/22</t>
  </si>
  <si>
    <t>3,9V</t>
  </si>
  <si>
    <t>6V</t>
  </si>
  <si>
    <t>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</si>
</sst>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Sheet1!$N$17:$N$24</c:f>
              <c:numCache>
                <c:formatCode>General</c:formatCode>
                <c:ptCount val="8"/>
                <c:pt idx="0">
                  <c:v>0.17599999999999999</c:v>
                </c:pt>
                <c:pt idx="1">
                  <c:v>1.63</c:v>
                </c:pt>
                <c:pt idx="2">
                  <c:v>3.25</c:v>
                </c:pt>
                <c:pt idx="3">
                  <c:v>4.9000000000000004</c:v>
                </c:pt>
                <c:pt idx="4">
                  <c:v>7.72</c:v>
                </c:pt>
                <c:pt idx="5">
                  <c:v>10.14</c:v>
                </c:pt>
                <c:pt idx="6">
                  <c:v>10.356999999999999</c:v>
                </c:pt>
                <c:pt idx="7">
                  <c:v>10.788</c:v>
                </c:pt>
              </c:numCache>
            </c:numRef>
          </c:xVal>
          <c:yVal>
            <c:numRef>
              <c:f>Sheet1!$O$17:$O$24</c:f>
              <c:numCache>
                <c:formatCode>General</c:formatCode>
                <c:ptCount val="8"/>
                <c:pt idx="0">
                  <c:v>1.7599999999999998E-2</c:v>
                </c:pt>
                <c:pt idx="1">
                  <c:v>1.6299999999999999E-2</c:v>
                </c:pt>
                <c:pt idx="2">
                  <c:v>1.6250000000000001E-2</c:v>
                </c:pt>
                <c:pt idx="3">
                  <c:v>1.6333333333333335E-2</c:v>
                </c:pt>
                <c:pt idx="4">
                  <c:v>1.6425531914893616E-2</c:v>
                </c:pt>
                <c:pt idx="5">
                  <c:v>1.4911764705882354E-2</c:v>
                </c:pt>
                <c:pt idx="6">
                  <c:v>1.0357E-2</c:v>
                </c:pt>
                <c:pt idx="7">
                  <c:v>1.0788E-4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5C-4555-A89B-CEEA7C96A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679967"/>
        <c:axId val="728682047"/>
      </c:scatterChart>
      <c:valAx>
        <c:axId val="72867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82047"/>
        <c:crosses val="autoZero"/>
        <c:crossBetween val="midCat"/>
      </c:valAx>
      <c:valAx>
        <c:axId val="7286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79967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Sheet1!$AD$17:$AD$24</c:f>
              <c:numCache>
                <c:formatCode>General</c:formatCode>
                <c:ptCount val="8"/>
                <c:pt idx="0">
                  <c:v>0.21</c:v>
                </c:pt>
                <c:pt idx="1">
                  <c:v>1.49</c:v>
                </c:pt>
                <c:pt idx="2">
                  <c:v>2.2799999999999998</c:v>
                </c:pt>
                <c:pt idx="3">
                  <c:v>2.8</c:v>
                </c:pt>
                <c:pt idx="4">
                  <c:v>3.28</c:v>
                </c:pt>
                <c:pt idx="5">
                  <c:v>3.66</c:v>
                </c:pt>
                <c:pt idx="6">
                  <c:v>4.04</c:v>
                </c:pt>
                <c:pt idx="7">
                  <c:v>5</c:v>
                </c:pt>
              </c:numCache>
            </c:numRef>
          </c:xVal>
          <c:yVal>
            <c:numRef>
              <c:f>Sheet1!$AE$17:$AE$24</c:f>
              <c:numCache>
                <c:formatCode>General</c:formatCode>
                <c:ptCount val="8"/>
                <c:pt idx="0">
                  <c:v>2.0999999999999998E-2</c:v>
                </c:pt>
                <c:pt idx="1">
                  <c:v>1.49E-2</c:v>
                </c:pt>
                <c:pt idx="2">
                  <c:v>1.1399999999999999E-2</c:v>
                </c:pt>
                <c:pt idx="3">
                  <c:v>9.3333333333333324E-3</c:v>
                </c:pt>
                <c:pt idx="4">
                  <c:v>6.9787234042553185E-3</c:v>
                </c:pt>
                <c:pt idx="5">
                  <c:v>5.3823529411764709E-3</c:v>
                </c:pt>
                <c:pt idx="6">
                  <c:v>4.0400000000000002E-3</c:v>
                </c:pt>
                <c:pt idx="7">
                  <c:v>5.0000000000000002E-5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C4-4D15-97DD-EF28468F22FC}"/>
            </c:ext>
          </c:extLst>
        </c:ser>
        <c:ser>
          <c:idx val="3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Sheet1!$AD$17:$AD$24</c:f>
              <c:numCache>
                <c:formatCode>General</c:formatCode>
                <c:ptCount val="8"/>
                <c:pt idx="0">
                  <c:v>0.21</c:v>
                </c:pt>
                <c:pt idx="1">
                  <c:v>1.49</c:v>
                </c:pt>
                <c:pt idx="2">
                  <c:v>2.2799999999999998</c:v>
                </c:pt>
                <c:pt idx="3">
                  <c:v>2.8</c:v>
                </c:pt>
                <c:pt idx="4">
                  <c:v>3.28</c:v>
                </c:pt>
                <c:pt idx="5">
                  <c:v>3.66</c:v>
                </c:pt>
                <c:pt idx="6">
                  <c:v>4.04</c:v>
                </c:pt>
                <c:pt idx="7">
                  <c:v>5</c:v>
                </c:pt>
              </c:numCache>
            </c:numRef>
          </c:xVal>
          <c:yVal>
            <c:numRef>
              <c:f>Sheet1!$AE$17:$AE$24</c:f>
              <c:numCache>
                <c:formatCode>General</c:formatCode>
                <c:ptCount val="8"/>
                <c:pt idx="0">
                  <c:v>2.0999999999999998E-2</c:v>
                </c:pt>
                <c:pt idx="1">
                  <c:v>1.49E-2</c:v>
                </c:pt>
                <c:pt idx="2">
                  <c:v>1.1399999999999999E-2</c:v>
                </c:pt>
                <c:pt idx="3">
                  <c:v>9.3333333333333324E-3</c:v>
                </c:pt>
                <c:pt idx="4">
                  <c:v>6.9787234042553185E-3</c:v>
                </c:pt>
                <c:pt idx="5">
                  <c:v>5.3823529411764709E-3</c:v>
                </c:pt>
                <c:pt idx="6">
                  <c:v>4.0400000000000002E-3</c:v>
                </c:pt>
                <c:pt idx="7">
                  <c:v>5.0000000000000002E-5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3C4-4D15-97DD-EF28468F22FC}"/>
            </c:ext>
          </c:extLst>
        </c:ser>
        <c:ser>
          <c:idx val="1"/>
          <c:order val="2"/>
          <c:marker>
            <c:symbol val="none"/>
          </c:marker>
          <c:xVal>
            <c:numRef>
              <c:f>Sheet1!$AD$17:$AD$24</c:f>
              <c:numCache>
                <c:formatCode>General</c:formatCode>
                <c:ptCount val="8"/>
                <c:pt idx="0">
                  <c:v>0.21</c:v>
                </c:pt>
                <c:pt idx="1">
                  <c:v>1.49</c:v>
                </c:pt>
                <c:pt idx="2">
                  <c:v>2.2799999999999998</c:v>
                </c:pt>
                <c:pt idx="3">
                  <c:v>2.8</c:v>
                </c:pt>
                <c:pt idx="4">
                  <c:v>3.28</c:v>
                </c:pt>
                <c:pt idx="5">
                  <c:v>3.66</c:v>
                </c:pt>
                <c:pt idx="6">
                  <c:v>4.04</c:v>
                </c:pt>
                <c:pt idx="7">
                  <c:v>5</c:v>
                </c:pt>
              </c:numCache>
            </c:numRef>
          </c:xVal>
          <c:yVal>
            <c:numRef>
              <c:f>Sheet1!$AE$17:$AE$24</c:f>
              <c:numCache>
                <c:formatCode>General</c:formatCode>
                <c:ptCount val="8"/>
                <c:pt idx="0">
                  <c:v>2.0999999999999998E-2</c:v>
                </c:pt>
                <c:pt idx="1">
                  <c:v>1.49E-2</c:v>
                </c:pt>
                <c:pt idx="2">
                  <c:v>1.1399999999999999E-2</c:v>
                </c:pt>
                <c:pt idx="3">
                  <c:v>9.3333333333333324E-3</c:v>
                </c:pt>
                <c:pt idx="4">
                  <c:v>6.9787234042553185E-3</c:v>
                </c:pt>
                <c:pt idx="5">
                  <c:v>5.3823529411764709E-3</c:v>
                </c:pt>
                <c:pt idx="6">
                  <c:v>4.0400000000000002E-3</c:v>
                </c:pt>
                <c:pt idx="7">
                  <c:v>5.0000000000000002E-5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C4-4D15-97DD-EF28468F2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679967"/>
        <c:axId val="728682047"/>
      </c:scatterChart>
      <c:valAx>
        <c:axId val="72867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82047"/>
        <c:crosses val="autoZero"/>
        <c:crossBetween val="midCat"/>
      </c:valAx>
      <c:valAx>
        <c:axId val="7286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79967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circle"/>
            <c:size val="5"/>
          </c:marker>
          <c:xVal>
            <c:numRef>
              <c:f>Sheet1!$Z$17:$Z$24</c:f>
              <c:numCache>
                <c:formatCode>General</c:formatCode>
                <c:ptCount val="8"/>
                <c:pt idx="0">
                  <c:v>0.18</c:v>
                </c:pt>
                <c:pt idx="1">
                  <c:v>1.67</c:v>
                </c:pt>
                <c:pt idx="2">
                  <c:v>3.32</c:v>
                </c:pt>
                <c:pt idx="3">
                  <c:v>5</c:v>
                </c:pt>
                <c:pt idx="4">
                  <c:v>6.36</c:v>
                </c:pt>
                <c:pt idx="5">
                  <c:v>6.55</c:v>
                </c:pt>
                <c:pt idx="6">
                  <c:v>6.7</c:v>
                </c:pt>
                <c:pt idx="7">
                  <c:v>6.69</c:v>
                </c:pt>
              </c:numCache>
            </c:numRef>
          </c:xVal>
          <c:yVal>
            <c:numRef>
              <c:f>Sheet1!$AA$17:$AA$24</c:f>
              <c:numCache>
                <c:formatCode>General</c:formatCode>
                <c:ptCount val="8"/>
                <c:pt idx="0">
                  <c:v>1.7999999999999999E-2</c:v>
                </c:pt>
                <c:pt idx="1">
                  <c:v>1.67E-2</c:v>
                </c:pt>
                <c:pt idx="2">
                  <c:v>1.66E-2</c:v>
                </c:pt>
                <c:pt idx="3">
                  <c:v>1.6666666666666666E-2</c:v>
                </c:pt>
                <c:pt idx="4">
                  <c:v>1.3531914893617021E-2</c:v>
                </c:pt>
                <c:pt idx="5">
                  <c:v>9.6323529411764704E-3</c:v>
                </c:pt>
                <c:pt idx="6">
                  <c:v>6.7000000000000002E-3</c:v>
                </c:pt>
                <c:pt idx="7">
                  <c:v>6.69E-5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CE-4956-8094-59839A876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679967"/>
        <c:axId val="728682047"/>
      </c:scatterChart>
      <c:valAx>
        <c:axId val="72867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82047"/>
        <c:crosses val="autoZero"/>
        <c:crossBetween val="midCat"/>
      </c:valAx>
      <c:valAx>
        <c:axId val="7286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79967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Sheet1!$R$17:$R$24</c:f>
              <c:numCache>
                <c:formatCode>General</c:formatCode>
                <c:ptCount val="8"/>
                <c:pt idx="0">
                  <c:v>0.314</c:v>
                </c:pt>
                <c:pt idx="1">
                  <c:v>2.2200000000000002</c:v>
                </c:pt>
                <c:pt idx="2">
                  <c:v>3.36</c:v>
                </c:pt>
                <c:pt idx="3">
                  <c:v>4.08</c:v>
                </c:pt>
                <c:pt idx="4">
                  <c:v>4.8</c:v>
                </c:pt>
                <c:pt idx="5">
                  <c:v>5.3</c:v>
                </c:pt>
                <c:pt idx="6">
                  <c:v>5.76</c:v>
                </c:pt>
                <c:pt idx="7">
                  <c:v>6.9809999999999999</c:v>
                </c:pt>
              </c:numCache>
            </c:numRef>
          </c:xVal>
          <c:yVal>
            <c:numRef>
              <c:f>Sheet1!$S$17:$S$24</c:f>
              <c:numCache>
                <c:formatCode>General</c:formatCode>
                <c:ptCount val="8"/>
                <c:pt idx="0">
                  <c:v>3.1399999999999997E-2</c:v>
                </c:pt>
                <c:pt idx="1">
                  <c:v>2.2200000000000001E-2</c:v>
                </c:pt>
                <c:pt idx="2">
                  <c:v>1.6799999999999999E-2</c:v>
                </c:pt>
                <c:pt idx="3">
                  <c:v>1.3600000000000001E-2</c:v>
                </c:pt>
                <c:pt idx="4">
                  <c:v>1.0212765957446808E-2</c:v>
                </c:pt>
                <c:pt idx="5">
                  <c:v>7.7941176470588229E-3</c:v>
                </c:pt>
                <c:pt idx="6">
                  <c:v>5.7599999999999995E-3</c:v>
                </c:pt>
                <c:pt idx="7">
                  <c:v>6.9809999999999997E-5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AAF-430E-B35E-5430A7BDB20C}"/>
            </c:ext>
          </c:extLst>
        </c:ser>
        <c:ser>
          <c:idx val="1"/>
          <c:order val="1"/>
          <c:marker>
            <c:symbol val="circle"/>
            <c:size val="5"/>
          </c:marker>
          <c:xVal>
            <c:numRef>
              <c:f>Sheet1!$V$17:$V$24</c:f>
              <c:numCache>
                <c:formatCode>General</c:formatCode>
                <c:ptCount val="8"/>
                <c:pt idx="0">
                  <c:v>0.115</c:v>
                </c:pt>
                <c:pt idx="1">
                  <c:v>0.99399999999999999</c:v>
                </c:pt>
                <c:pt idx="2">
                  <c:v>1.734</c:v>
                </c:pt>
                <c:pt idx="3">
                  <c:v>2.3260000000000001</c:v>
                </c:pt>
                <c:pt idx="4">
                  <c:v>3.1</c:v>
                </c:pt>
                <c:pt idx="5">
                  <c:v>3.6920000000000002</c:v>
                </c:pt>
                <c:pt idx="6">
                  <c:v>4.3600000000000003</c:v>
                </c:pt>
                <c:pt idx="7">
                  <c:v>6.9649999999999999</c:v>
                </c:pt>
              </c:numCache>
            </c:numRef>
          </c:xVal>
          <c:yVal>
            <c:numRef>
              <c:f>Sheet1!$W$17:$W$24</c:f>
              <c:numCache>
                <c:formatCode>General</c:formatCode>
                <c:ptCount val="8"/>
                <c:pt idx="0">
                  <c:v>1.15E-2</c:v>
                </c:pt>
                <c:pt idx="1">
                  <c:v>9.9399999999999992E-3</c:v>
                </c:pt>
                <c:pt idx="2">
                  <c:v>8.6700000000000006E-3</c:v>
                </c:pt>
                <c:pt idx="3">
                  <c:v>7.7533333333333334E-3</c:v>
                </c:pt>
                <c:pt idx="4">
                  <c:v>6.5957446808510636E-3</c:v>
                </c:pt>
                <c:pt idx="5">
                  <c:v>5.4294117647058823E-3</c:v>
                </c:pt>
                <c:pt idx="6">
                  <c:v>4.3600000000000002E-3</c:v>
                </c:pt>
                <c:pt idx="7">
                  <c:v>6.9649999999999999E-5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AF-430E-B35E-5430A7BDB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679967"/>
        <c:axId val="728682047"/>
      </c:scatterChart>
      <c:valAx>
        <c:axId val="72867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82047"/>
        <c:crosses val="autoZero"/>
        <c:crossBetween val="midCat"/>
      </c:valAx>
      <c:valAx>
        <c:axId val="7286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79967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circle"/>
            <c:size val="5"/>
          </c:marker>
          <c:xVal>
            <c:numRef>
              <c:f>Sheet1!$F$17:$F$24</c:f>
              <c:numCache>
                <c:formatCode>General</c:formatCode>
                <c:ptCount val="8"/>
                <c:pt idx="0">
                  <c:v>0.17699999999999999</c:v>
                </c:pt>
                <c:pt idx="1">
                  <c:v>1.64</c:v>
                </c:pt>
                <c:pt idx="2">
                  <c:v>3.25</c:v>
                </c:pt>
                <c:pt idx="3">
                  <c:v>4.9000000000000004</c:v>
                </c:pt>
                <c:pt idx="4">
                  <c:v>7.6</c:v>
                </c:pt>
                <c:pt idx="5">
                  <c:v>10.199999999999999</c:v>
                </c:pt>
                <c:pt idx="6">
                  <c:v>10.43</c:v>
                </c:pt>
                <c:pt idx="7">
                  <c:v>10.8</c:v>
                </c:pt>
              </c:numCache>
            </c:numRef>
          </c:xVal>
          <c:yVal>
            <c:numRef>
              <c:f>Sheet1!$G$17:$G$24</c:f>
              <c:numCache>
                <c:formatCode>General</c:formatCode>
                <c:ptCount val="8"/>
                <c:pt idx="0">
                  <c:v>1.77E-2</c:v>
                </c:pt>
                <c:pt idx="1">
                  <c:v>1.6399999999999998E-2</c:v>
                </c:pt>
                <c:pt idx="2">
                  <c:v>1.6250000000000001E-2</c:v>
                </c:pt>
                <c:pt idx="3">
                  <c:v>1.6333333333333335E-2</c:v>
                </c:pt>
                <c:pt idx="4">
                  <c:v>1.6170212765957447E-2</c:v>
                </c:pt>
                <c:pt idx="5">
                  <c:v>1.4999999999999999E-2</c:v>
                </c:pt>
                <c:pt idx="6">
                  <c:v>1.043E-2</c:v>
                </c:pt>
                <c:pt idx="7">
                  <c:v>1.0800000000000001E-4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02-4DAE-A442-80D4F879F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679967"/>
        <c:axId val="728682047"/>
      </c:scatterChart>
      <c:valAx>
        <c:axId val="72867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82047"/>
        <c:crosses val="autoZero"/>
        <c:crossBetween val="midCat"/>
      </c:valAx>
      <c:valAx>
        <c:axId val="7286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79967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circle"/>
            <c:size val="5"/>
          </c:marker>
          <c:xVal>
            <c:numRef>
              <c:f>Sheet1!$B$17:$B$24</c:f>
              <c:numCache>
                <c:formatCode>General</c:formatCode>
                <c:ptCount val="8"/>
                <c:pt idx="0">
                  <c:v>0.17699999999999999</c:v>
                </c:pt>
                <c:pt idx="1">
                  <c:v>1.64</c:v>
                </c:pt>
                <c:pt idx="2">
                  <c:v>3.25</c:v>
                </c:pt>
                <c:pt idx="3">
                  <c:v>4.9000000000000004</c:v>
                </c:pt>
                <c:pt idx="4">
                  <c:v>7.6</c:v>
                </c:pt>
                <c:pt idx="5">
                  <c:v>10.199999999999999</c:v>
                </c:pt>
                <c:pt idx="6">
                  <c:v>10.43</c:v>
                </c:pt>
                <c:pt idx="7">
                  <c:v>10.8</c:v>
                </c:pt>
              </c:numCache>
            </c:numRef>
          </c:xVal>
          <c:yVal>
            <c:numRef>
              <c:f>Sheet1!$C$17:$C$24</c:f>
              <c:numCache>
                <c:formatCode>General</c:formatCode>
                <c:ptCount val="8"/>
                <c:pt idx="0">
                  <c:v>1.77E-2</c:v>
                </c:pt>
                <c:pt idx="1">
                  <c:v>1.6399999999999998E-2</c:v>
                </c:pt>
                <c:pt idx="2">
                  <c:v>1.6250000000000001E-2</c:v>
                </c:pt>
                <c:pt idx="3">
                  <c:v>1.6333333333333335E-2</c:v>
                </c:pt>
                <c:pt idx="4">
                  <c:v>1.6170212765957447E-2</c:v>
                </c:pt>
                <c:pt idx="5">
                  <c:v>1.4999999999999999E-2</c:v>
                </c:pt>
                <c:pt idx="6">
                  <c:v>1.043E-2</c:v>
                </c:pt>
                <c:pt idx="7">
                  <c:v>1.0800000000000001E-4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02-4ADC-8A14-31A51B950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679967"/>
        <c:axId val="728682047"/>
      </c:scatterChart>
      <c:valAx>
        <c:axId val="72867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82047"/>
        <c:crosses val="autoZero"/>
        <c:crossBetween val="midCat"/>
      </c:valAx>
      <c:valAx>
        <c:axId val="7286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79967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circle"/>
            <c:size val="5"/>
          </c:marker>
          <c:xVal>
            <c:numRef>
              <c:f>Sheet1!$J$17:$J$24</c:f>
              <c:numCache>
                <c:formatCode>General</c:formatCode>
                <c:ptCount val="8"/>
                <c:pt idx="0">
                  <c:v>0.17699999999999999</c:v>
                </c:pt>
                <c:pt idx="1">
                  <c:v>1.64</c:v>
                </c:pt>
                <c:pt idx="2">
                  <c:v>3.25</c:v>
                </c:pt>
                <c:pt idx="3">
                  <c:v>4.9000000000000004</c:v>
                </c:pt>
                <c:pt idx="4">
                  <c:v>7.6</c:v>
                </c:pt>
                <c:pt idx="5">
                  <c:v>10.15</c:v>
                </c:pt>
                <c:pt idx="6">
                  <c:v>10.35</c:v>
                </c:pt>
                <c:pt idx="7">
                  <c:v>10.8</c:v>
                </c:pt>
              </c:numCache>
            </c:numRef>
          </c:xVal>
          <c:yVal>
            <c:numRef>
              <c:f>Sheet1!$K$17:$K$24</c:f>
              <c:numCache>
                <c:formatCode>General</c:formatCode>
                <c:ptCount val="8"/>
                <c:pt idx="0">
                  <c:v>1.77E-2</c:v>
                </c:pt>
                <c:pt idx="1">
                  <c:v>1.6399999999999998E-2</c:v>
                </c:pt>
                <c:pt idx="2">
                  <c:v>1.6250000000000001E-2</c:v>
                </c:pt>
                <c:pt idx="3">
                  <c:v>1.6333333333333335E-2</c:v>
                </c:pt>
                <c:pt idx="4">
                  <c:v>1.6170212765957447E-2</c:v>
                </c:pt>
                <c:pt idx="5">
                  <c:v>1.4926470588235295E-2</c:v>
                </c:pt>
                <c:pt idx="6">
                  <c:v>1.035E-2</c:v>
                </c:pt>
                <c:pt idx="7">
                  <c:v>1.0800000000000001E-4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C5-4735-BAD1-F84ABD9C3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679967"/>
        <c:axId val="728682047"/>
      </c:scatterChart>
      <c:valAx>
        <c:axId val="72867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82047"/>
        <c:crosses val="autoZero"/>
        <c:crossBetween val="midCat"/>
      </c:valAx>
      <c:valAx>
        <c:axId val="7286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28679967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26</xdr:row>
      <xdr:rowOff>25399</xdr:rowOff>
    </xdr:from>
    <xdr:to>
      <xdr:col>17</xdr:col>
      <xdr:colOff>25400</xdr:colOff>
      <xdr:row>37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215900</xdr:colOff>
      <xdr:row>25</xdr:row>
      <xdr:rowOff>152400</xdr:rowOff>
    </xdr:from>
    <xdr:to>
      <xdr:col>33</xdr:col>
      <xdr:colOff>288925</xdr:colOff>
      <xdr:row>37</xdr:row>
      <xdr:rowOff>28575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12700</xdr:colOff>
      <xdr:row>26</xdr:row>
      <xdr:rowOff>6350</xdr:rowOff>
    </xdr:from>
    <xdr:to>
      <xdr:col>29</xdr:col>
      <xdr:colOff>85725</xdr:colOff>
      <xdr:row>37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44450</xdr:colOff>
      <xdr:row>26</xdr:row>
      <xdr:rowOff>0</xdr:rowOff>
    </xdr:from>
    <xdr:to>
      <xdr:col>24</xdr:col>
      <xdr:colOff>114300</xdr:colOff>
      <xdr:row>37</xdr:row>
      <xdr:rowOff>60325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9</xdr:col>
      <xdr:colOff>73025</xdr:colOff>
      <xdr:row>37</xdr:row>
      <xdr:rowOff>60325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</xdr:colOff>
      <xdr:row>25</xdr:row>
      <xdr:rowOff>165100</xdr:rowOff>
    </xdr:from>
    <xdr:to>
      <xdr:col>4</xdr:col>
      <xdr:colOff>215901</xdr:colOff>
      <xdr:row>37</xdr:row>
      <xdr:rowOff>60325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13</xdr:col>
      <xdr:colOff>73025</xdr:colOff>
      <xdr:row>37</xdr:row>
      <xdr:rowOff>60325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AH25"/>
  <sheetViews>
    <sheetView tabSelected="1" topLeftCell="C10" workbookViewId="0">
      <selection activeCell="AH23" sqref="AH23"/>
    </sheetView>
  </sheetViews>
  <sheetFormatPr defaultRowHeight="14.5" x14ac:dyDescent="0.35"/>
  <sheetData>
    <row r="3" spans="1:34" x14ac:dyDescent="0.35">
      <c r="B3">
        <v>10</v>
      </c>
      <c r="F3">
        <v>100</v>
      </c>
      <c r="J3">
        <v>200</v>
      </c>
      <c r="N3">
        <v>300</v>
      </c>
      <c r="R3">
        <v>680</v>
      </c>
      <c r="V3">
        <v>1000</v>
      </c>
      <c r="Z3">
        <v>100000</v>
      </c>
      <c r="AD3" t="s">
        <v>0</v>
      </c>
    </row>
    <row r="4" spans="1:34" x14ac:dyDescent="0.35">
      <c r="A4" s="1" t="s">
        <v>1</v>
      </c>
    </row>
    <row r="5" spans="1:34" x14ac:dyDescent="0.35">
      <c r="A5" t="s">
        <v>2</v>
      </c>
    </row>
    <row r="6" spans="1:34" x14ac:dyDescent="0.35">
      <c r="A6" t="s">
        <v>3</v>
      </c>
    </row>
    <row r="7" spans="1:34" x14ac:dyDescent="0.35">
      <c r="A7" t="s">
        <v>4</v>
      </c>
    </row>
    <row r="8" spans="1:34" x14ac:dyDescent="0.35">
      <c r="A8" t="s">
        <v>5</v>
      </c>
      <c r="B8">
        <v>0.314</v>
      </c>
      <c r="F8">
        <v>2.2200000000000002</v>
      </c>
      <c r="J8">
        <v>3.36</v>
      </c>
      <c r="N8">
        <v>4.08</v>
      </c>
      <c r="R8">
        <v>5.3</v>
      </c>
      <c r="V8">
        <v>5.76</v>
      </c>
      <c r="Z8">
        <v>6.9809999999999999</v>
      </c>
      <c r="AD8">
        <v>6.99</v>
      </c>
    </row>
    <row r="9" spans="1:34" x14ac:dyDescent="0.35">
      <c r="A9" t="s">
        <v>6</v>
      </c>
      <c r="B9">
        <v>0.115</v>
      </c>
      <c r="F9">
        <v>0.99399999999999999</v>
      </c>
      <c r="J9">
        <v>1.734</v>
      </c>
      <c r="N9">
        <v>2.3260000000000001</v>
      </c>
      <c r="R9">
        <v>3.6920000000000002</v>
      </c>
      <c r="V9">
        <v>4.3600000000000003</v>
      </c>
      <c r="Z9">
        <v>6.9649999999999999</v>
      </c>
      <c r="AD9">
        <v>7</v>
      </c>
    </row>
    <row r="10" spans="1:34" x14ac:dyDescent="0.35">
      <c r="A10" t="s">
        <v>9</v>
      </c>
      <c r="B10">
        <v>0.16700000000000001</v>
      </c>
      <c r="F10">
        <v>1.6659999999999999</v>
      </c>
      <c r="J10">
        <v>3.32</v>
      </c>
      <c r="N10">
        <v>5</v>
      </c>
      <c r="R10">
        <v>6.56</v>
      </c>
      <c r="V10">
        <v>6.7</v>
      </c>
      <c r="Z10">
        <v>7.0170000000000003</v>
      </c>
      <c r="AD10">
        <v>7.0170000000000003</v>
      </c>
    </row>
    <row r="11" spans="1:34" x14ac:dyDescent="0.35">
      <c r="A11" t="s">
        <v>7</v>
      </c>
    </row>
    <row r="12" spans="1:34" x14ac:dyDescent="0.35">
      <c r="A12" t="s">
        <v>8</v>
      </c>
    </row>
    <row r="14" spans="1:34" x14ac:dyDescent="0.35">
      <c r="B14" s="1" t="s">
        <v>1</v>
      </c>
      <c r="C14" s="1"/>
      <c r="D14" s="1"/>
      <c r="E14" s="1"/>
      <c r="F14" t="s">
        <v>2</v>
      </c>
      <c r="J14" t="s">
        <v>3</v>
      </c>
      <c r="N14" t="s">
        <v>4</v>
      </c>
      <c r="O14" t="s">
        <v>21</v>
      </c>
      <c r="R14" t="s">
        <v>16</v>
      </c>
      <c r="S14" t="s">
        <v>20</v>
      </c>
      <c r="V14" t="s">
        <v>17</v>
      </c>
      <c r="Z14" t="s">
        <v>9</v>
      </c>
      <c r="AD14" t="s">
        <v>18</v>
      </c>
      <c r="AE14" t="s">
        <v>22</v>
      </c>
      <c r="AH14" t="s">
        <v>19</v>
      </c>
    </row>
    <row r="16" spans="1:34" x14ac:dyDescent="0.35">
      <c r="A16" t="s">
        <v>12</v>
      </c>
      <c r="B16" t="s">
        <v>13</v>
      </c>
      <c r="C16" t="s">
        <v>14</v>
      </c>
      <c r="D16" t="s">
        <v>15</v>
      </c>
      <c r="J16" t="s">
        <v>10</v>
      </c>
      <c r="K16" t="s">
        <v>11</v>
      </c>
      <c r="L16" t="s">
        <v>12</v>
      </c>
    </row>
    <row r="17" spans="1:32" x14ac:dyDescent="0.35">
      <c r="A17">
        <v>10</v>
      </c>
      <c r="B17">
        <v>0.17699999999999999</v>
      </c>
      <c r="C17">
        <f t="shared" ref="C17:C24" si="0">B17/$A17</f>
        <v>1.77E-2</v>
      </c>
      <c r="D17">
        <f t="shared" ref="D17:D24" si="1">(B$24-B17)/C17</f>
        <v>600.16949152542372</v>
      </c>
      <c r="F17">
        <v>0.17699999999999999</v>
      </c>
      <c r="G17">
        <f t="shared" ref="G17:G24" si="2">F17/$A17</f>
        <v>1.77E-2</v>
      </c>
      <c r="H17">
        <f t="shared" ref="H17:H24" si="3">(F$24-F17)/G17</f>
        <v>600.16949152542372</v>
      </c>
      <c r="J17">
        <v>0.17699999999999999</v>
      </c>
      <c r="K17">
        <f t="shared" ref="K17:K24" si="4">J17/$A17</f>
        <v>1.77E-2</v>
      </c>
      <c r="L17">
        <f t="shared" ref="L17:L24" si="5">(J$24-J17)/K17</f>
        <v>600.16949152542372</v>
      </c>
      <c r="N17">
        <v>0.17599999999999999</v>
      </c>
      <c r="O17">
        <f t="shared" ref="O17:O24" si="6">N17/$A17</f>
        <v>1.7599999999999998E-2</v>
      </c>
      <c r="P17">
        <f t="shared" ref="P17:P24" si="7">(N$24-N17)/O17</f>
        <v>602.9545454545455</v>
      </c>
      <c r="R17">
        <v>0.314</v>
      </c>
      <c r="S17">
        <f t="shared" ref="S17:S25" si="8">R17/$A17</f>
        <v>3.1399999999999997E-2</v>
      </c>
      <c r="T17">
        <f t="shared" ref="T17:T24" si="9">(R$24-R17)/S17</f>
        <v>212.32484076433121</v>
      </c>
      <c r="V17">
        <v>0.115</v>
      </c>
      <c r="W17">
        <f t="shared" ref="W17:W25" si="10">V17/$A17</f>
        <v>1.15E-2</v>
      </c>
      <c r="X17">
        <f t="shared" ref="X17:X24" si="11">(V$24-V17)/W17</f>
        <v>595.6521739130435</v>
      </c>
      <c r="Z17">
        <v>0.18</v>
      </c>
      <c r="AA17">
        <f t="shared" ref="AA17:AA25" si="12">Z17/$A17</f>
        <v>1.7999999999999999E-2</v>
      </c>
      <c r="AB17">
        <f t="shared" ref="AB17:AB24" si="13">(Z$24-Z17)/AA17</f>
        <v>361.66666666666674</v>
      </c>
      <c r="AD17">
        <v>0.21</v>
      </c>
      <c r="AE17">
        <f t="shared" ref="AE17:AE25" si="14">AD17/$A17</f>
        <v>2.0999999999999998E-2</v>
      </c>
      <c r="AF17">
        <f t="shared" ref="AF17:AF25" si="15">(AD$24-AD17)/AE17</f>
        <v>228.09523809523813</v>
      </c>
    </row>
    <row r="18" spans="1:32" x14ac:dyDescent="0.35">
      <c r="A18">
        <v>100</v>
      </c>
      <c r="B18">
        <v>1.64</v>
      </c>
      <c r="C18">
        <f t="shared" si="0"/>
        <v>1.6399999999999998E-2</v>
      </c>
      <c r="D18">
        <f t="shared" si="1"/>
        <v>558.53658536585374</v>
      </c>
      <c r="F18">
        <v>1.64</v>
      </c>
      <c r="G18">
        <f t="shared" si="2"/>
        <v>1.6399999999999998E-2</v>
      </c>
      <c r="H18">
        <f t="shared" si="3"/>
        <v>558.53658536585374</v>
      </c>
      <c r="J18">
        <v>1.64</v>
      </c>
      <c r="K18">
        <f t="shared" si="4"/>
        <v>1.6399999999999998E-2</v>
      </c>
      <c r="L18">
        <f t="shared" si="5"/>
        <v>558.53658536585374</v>
      </c>
      <c r="N18">
        <v>1.63</v>
      </c>
      <c r="O18">
        <f t="shared" si="6"/>
        <v>1.6299999999999999E-2</v>
      </c>
      <c r="P18">
        <f t="shared" si="7"/>
        <v>561.84049079754618</v>
      </c>
      <c r="R18">
        <v>2.2200000000000002</v>
      </c>
      <c r="S18">
        <f t="shared" si="8"/>
        <v>2.2200000000000001E-2</v>
      </c>
      <c r="T18">
        <f t="shared" si="9"/>
        <v>214.45945945945942</v>
      </c>
      <c r="V18">
        <v>0.99399999999999999</v>
      </c>
      <c r="W18">
        <f t="shared" si="10"/>
        <v>9.9399999999999992E-3</v>
      </c>
      <c r="X18">
        <f t="shared" si="11"/>
        <v>600.70422535211276</v>
      </c>
      <c r="Z18">
        <v>1.67</v>
      </c>
      <c r="AA18">
        <f t="shared" si="12"/>
        <v>1.67E-2</v>
      </c>
      <c r="AB18">
        <f t="shared" si="13"/>
        <v>300.59880239520959</v>
      </c>
      <c r="AD18">
        <v>1.49</v>
      </c>
      <c r="AE18">
        <f t="shared" si="14"/>
        <v>1.49E-2</v>
      </c>
      <c r="AF18">
        <f t="shared" si="15"/>
        <v>235.57046979865771</v>
      </c>
    </row>
    <row r="19" spans="1:32" x14ac:dyDescent="0.35">
      <c r="A19">
        <v>200</v>
      </c>
      <c r="B19">
        <v>3.25</v>
      </c>
      <c r="C19">
        <f t="shared" si="0"/>
        <v>1.6250000000000001E-2</v>
      </c>
      <c r="D19">
        <f t="shared" si="1"/>
        <v>464.61538461538464</v>
      </c>
      <c r="F19">
        <v>3.25</v>
      </c>
      <c r="G19">
        <f t="shared" si="2"/>
        <v>1.6250000000000001E-2</v>
      </c>
      <c r="H19">
        <f t="shared" si="3"/>
        <v>464.61538461538464</v>
      </c>
      <c r="J19">
        <v>3.25</v>
      </c>
      <c r="K19">
        <f t="shared" si="4"/>
        <v>1.6250000000000001E-2</v>
      </c>
      <c r="L19">
        <f t="shared" si="5"/>
        <v>464.61538461538464</v>
      </c>
      <c r="N19">
        <v>3.25</v>
      </c>
      <c r="O19">
        <f t="shared" si="6"/>
        <v>1.6250000000000001E-2</v>
      </c>
      <c r="P19">
        <f t="shared" si="7"/>
        <v>463.87692307692305</v>
      </c>
      <c r="R19">
        <v>3.36</v>
      </c>
      <c r="S19">
        <f t="shared" si="8"/>
        <v>1.6799999999999999E-2</v>
      </c>
      <c r="T19">
        <f t="shared" si="9"/>
        <v>215.53571428571431</v>
      </c>
      <c r="V19">
        <v>1.734</v>
      </c>
      <c r="W19">
        <f t="shared" si="10"/>
        <v>8.6700000000000006E-3</v>
      </c>
      <c r="X19">
        <f t="shared" si="11"/>
        <v>603.34486735870814</v>
      </c>
      <c r="Z19">
        <v>3.32</v>
      </c>
      <c r="AA19">
        <f t="shared" si="12"/>
        <v>1.66E-2</v>
      </c>
      <c r="AB19">
        <f t="shared" si="13"/>
        <v>203.01204819277112</v>
      </c>
      <c r="AD19">
        <v>2.2799999999999998</v>
      </c>
      <c r="AE19">
        <f t="shared" si="14"/>
        <v>1.1399999999999999E-2</v>
      </c>
      <c r="AF19">
        <f t="shared" si="15"/>
        <v>238.59649122807022</v>
      </c>
    </row>
    <row r="20" spans="1:32" x14ac:dyDescent="0.35">
      <c r="A20">
        <v>300</v>
      </c>
      <c r="B20">
        <v>4.9000000000000004</v>
      </c>
      <c r="C20">
        <f t="shared" si="0"/>
        <v>1.6333333333333335E-2</v>
      </c>
      <c r="D20">
        <f t="shared" si="1"/>
        <v>361.22448979591837</v>
      </c>
      <c r="F20">
        <v>4.9000000000000004</v>
      </c>
      <c r="G20">
        <f t="shared" si="2"/>
        <v>1.6333333333333335E-2</v>
      </c>
      <c r="H20">
        <f t="shared" si="3"/>
        <v>361.22448979591837</v>
      </c>
      <c r="J20">
        <v>4.9000000000000004</v>
      </c>
      <c r="K20">
        <f t="shared" si="4"/>
        <v>1.6333333333333335E-2</v>
      </c>
      <c r="L20">
        <f t="shared" si="5"/>
        <v>361.22448979591837</v>
      </c>
      <c r="N20">
        <v>4.9000000000000004</v>
      </c>
      <c r="O20">
        <f t="shared" si="6"/>
        <v>1.6333333333333335E-2</v>
      </c>
      <c r="P20">
        <f t="shared" si="7"/>
        <v>360.48979591836729</v>
      </c>
      <c r="R20">
        <v>4.08</v>
      </c>
      <c r="S20">
        <f t="shared" si="8"/>
        <v>1.3600000000000001E-2</v>
      </c>
      <c r="T20">
        <f t="shared" si="9"/>
        <v>213.30882352941174</v>
      </c>
      <c r="V20">
        <v>2.3260000000000001</v>
      </c>
      <c r="W20">
        <f t="shared" si="10"/>
        <v>7.7533333333333334E-3</v>
      </c>
      <c r="X20">
        <f t="shared" si="11"/>
        <v>598.32330180567487</v>
      </c>
      <c r="Z20">
        <v>5</v>
      </c>
      <c r="AA20">
        <f t="shared" si="12"/>
        <v>1.6666666666666666E-2</v>
      </c>
      <c r="AB20">
        <f t="shared" si="13"/>
        <v>101.40000000000002</v>
      </c>
      <c r="AD20">
        <v>2.8</v>
      </c>
      <c r="AE20">
        <f t="shared" si="14"/>
        <v>9.3333333333333324E-3</v>
      </c>
      <c r="AF20">
        <f t="shared" si="15"/>
        <v>235.71428571428575</v>
      </c>
    </row>
    <row r="21" spans="1:32" x14ac:dyDescent="0.35">
      <c r="A21">
        <v>470</v>
      </c>
      <c r="B21">
        <v>7.6</v>
      </c>
      <c r="C21">
        <f t="shared" si="0"/>
        <v>1.6170212765957447E-2</v>
      </c>
      <c r="D21">
        <f t="shared" si="1"/>
        <v>197.89473684210535</v>
      </c>
      <c r="F21">
        <v>7.6</v>
      </c>
      <c r="G21">
        <f t="shared" si="2"/>
        <v>1.6170212765957447E-2</v>
      </c>
      <c r="H21">
        <f t="shared" si="3"/>
        <v>197.89473684210535</v>
      </c>
      <c r="J21">
        <v>7.6</v>
      </c>
      <c r="K21">
        <f t="shared" si="4"/>
        <v>1.6170212765957447E-2</v>
      </c>
      <c r="L21">
        <f t="shared" si="5"/>
        <v>197.89473684210535</v>
      </c>
      <c r="N21">
        <v>7.72</v>
      </c>
      <c r="O21">
        <f t="shared" si="6"/>
        <v>1.6425531914893616E-2</v>
      </c>
      <c r="P21">
        <f t="shared" si="7"/>
        <v>186.78238341968915</v>
      </c>
      <c r="R21">
        <v>4.8</v>
      </c>
      <c r="S21">
        <f t="shared" si="8"/>
        <v>1.0212765957446808E-2</v>
      </c>
      <c r="T21">
        <f t="shared" si="9"/>
        <v>213.55625000000001</v>
      </c>
      <c r="V21">
        <v>3.1</v>
      </c>
      <c r="W21">
        <f t="shared" si="10"/>
        <v>6.5957446808510636E-3</v>
      </c>
      <c r="X21">
        <f t="shared" si="11"/>
        <v>585.98387096774195</v>
      </c>
      <c r="Z21">
        <v>6.36</v>
      </c>
      <c r="AA21">
        <f t="shared" si="12"/>
        <v>1.3531914893617021E-2</v>
      </c>
      <c r="AB21">
        <f t="shared" si="13"/>
        <v>24.386792452830193</v>
      </c>
      <c r="AD21">
        <v>3.28</v>
      </c>
      <c r="AE21">
        <f t="shared" si="14"/>
        <v>6.9787234042553185E-3</v>
      </c>
      <c r="AF21">
        <f t="shared" si="15"/>
        <v>246.4634146341464</v>
      </c>
    </row>
    <row r="22" spans="1:32" x14ac:dyDescent="0.35">
      <c r="A22">
        <v>680</v>
      </c>
      <c r="B22">
        <v>10.199999999999999</v>
      </c>
      <c r="C22">
        <f t="shared" si="0"/>
        <v>1.4999999999999999E-2</v>
      </c>
      <c r="D22">
        <f t="shared" si="1"/>
        <v>40.000000000000099</v>
      </c>
      <c r="F22">
        <v>10.199999999999999</v>
      </c>
      <c r="G22">
        <f t="shared" si="2"/>
        <v>1.4999999999999999E-2</v>
      </c>
      <c r="H22">
        <f t="shared" si="3"/>
        <v>40.000000000000099</v>
      </c>
      <c r="J22">
        <v>10.15</v>
      </c>
      <c r="K22">
        <f t="shared" si="4"/>
        <v>1.4926470588235295E-2</v>
      </c>
      <c r="L22">
        <f t="shared" si="5"/>
        <v>43.546798029556676</v>
      </c>
      <c r="N22">
        <v>10.14</v>
      </c>
      <c r="O22">
        <f t="shared" si="6"/>
        <v>1.4911764705882354E-2</v>
      </c>
      <c r="P22">
        <f t="shared" si="7"/>
        <v>43.455621301775125</v>
      </c>
      <c r="R22">
        <v>5.3</v>
      </c>
      <c r="S22">
        <f t="shared" si="8"/>
        <v>7.7941176470588229E-3</v>
      </c>
      <c r="T22">
        <f t="shared" si="9"/>
        <v>215.67547169811323</v>
      </c>
      <c r="V22">
        <v>3.6920000000000002</v>
      </c>
      <c r="W22">
        <f t="shared" si="10"/>
        <v>5.4294117647058823E-3</v>
      </c>
      <c r="X22">
        <f t="shared" si="11"/>
        <v>602.82773564463696</v>
      </c>
      <c r="Z22">
        <v>6.55</v>
      </c>
      <c r="AA22">
        <f t="shared" si="12"/>
        <v>9.6323529411764704E-3</v>
      </c>
      <c r="AB22">
        <f t="shared" si="13"/>
        <v>14.534351145038228</v>
      </c>
      <c r="AD22">
        <v>3.66</v>
      </c>
      <c r="AE22">
        <f t="shared" si="14"/>
        <v>5.3823529411764709E-3</v>
      </c>
      <c r="AF22">
        <f t="shared" si="15"/>
        <v>248.96174863387975</v>
      </c>
    </row>
    <row r="23" spans="1:32" x14ac:dyDescent="0.35">
      <c r="A23">
        <v>1000</v>
      </c>
      <c r="B23">
        <v>10.43</v>
      </c>
      <c r="C23">
        <f t="shared" si="0"/>
        <v>1.043E-2</v>
      </c>
      <c r="D23">
        <f t="shared" si="1"/>
        <v>35.474592521572482</v>
      </c>
      <c r="F23">
        <v>10.43</v>
      </c>
      <c r="G23">
        <f t="shared" si="2"/>
        <v>1.043E-2</v>
      </c>
      <c r="H23">
        <f t="shared" si="3"/>
        <v>35.474592521572482</v>
      </c>
      <c r="J23">
        <v>10.35</v>
      </c>
      <c r="K23">
        <f t="shared" si="4"/>
        <v>1.035E-2</v>
      </c>
      <c r="L23">
        <f t="shared" si="5"/>
        <v>43.478260869565318</v>
      </c>
      <c r="N23">
        <v>10.356999999999999</v>
      </c>
      <c r="O23">
        <f t="shared" si="6"/>
        <v>1.0357E-2</v>
      </c>
      <c r="P23">
        <f t="shared" si="7"/>
        <v>41.614367094718638</v>
      </c>
      <c r="R23">
        <v>5.76</v>
      </c>
      <c r="S23">
        <f t="shared" si="8"/>
        <v>5.7599999999999995E-3</v>
      </c>
      <c r="T23">
        <f t="shared" si="9"/>
        <v>211.97916666666671</v>
      </c>
      <c r="V23">
        <v>4.3600000000000003</v>
      </c>
      <c r="W23">
        <f t="shared" si="10"/>
        <v>4.3600000000000002E-3</v>
      </c>
      <c r="X23">
        <f t="shared" si="11"/>
        <v>597.47706422018337</v>
      </c>
      <c r="Z23">
        <v>6.7</v>
      </c>
      <c r="AA23">
        <f t="shared" si="12"/>
        <v>6.7000000000000002E-3</v>
      </c>
      <c r="AB23">
        <f t="shared" si="13"/>
        <v>-1.4925373134328039</v>
      </c>
      <c r="AD23">
        <v>4.04</v>
      </c>
      <c r="AE23">
        <f t="shared" si="14"/>
        <v>4.0400000000000002E-3</v>
      </c>
      <c r="AF23">
        <f t="shared" si="15"/>
        <v>237.62376237623761</v>
      </c>
    </row>
    <row r="24" spans="1:32" x14ac:dyDescent="0.35">
      <c r="A24">
        <v>100000</v>
      </c>
      <c r="B24">
        <v>10.8</v>
      </c>
      <c r="C24">
        <f t="shared" si="0"/>
        <v>1.0800000000000001E-4</v>
      </c>
      <c r="D24">
        <f t="shared" si="1"/>
        <v>0</v>
      </c>
      <c r="F24">
        <v>10.8</v>
      </c>
      <c r="G24">
        <f t="shared" si="2"/>
        <v>1.0800000000000001E-4</v>
      </c>
      <c r="H24">
        <f t="shared" si="3"/>
        <v>0</v>
      </c>
      <c r="J24">
        <v>10.8</v>
      </c>
      <c r="K24">
        <f t="shared" si="4"/>
        <v>1.0800000000000001E-4</v>
      </c>
      <c r="L24">
        <f t="shared" si="5"/>
        <v>0</v>
      </c>
      <c r="N24">
        <v>10.788</v>
      </c>
      <c r="O24">
        <f t="shared" si="6"/>
        <v>1.0788E-4</v>
      </c>
      <c r="P24">
        <f t="shared" si="7"/>
        <v>0</v>
      </c>
      <c r="R24">
        <v>6.9809999999999999</v>
      </c>
      <c r="S24">
        <f t="shared" si="8"/>
        <v>6.9809999999999997E-5</v>
      </c>
      <c r="T24">
        <f t="shared" si="9"/>
        <v>0</v>
      </c>
      <c r="V24">
        <v>6.9649999999999999</v>
      </c>
      <c r="W24">
        <f t="shared" si="10"/>
        <v>6.9649999999999999E-5</v>
      </c>
      <c r="X24">
        <f t="shared" si="11"/>
        <v>0</v>
      </c>
      <c r="Z24">
        <v>6.69</v>
      </c>
      <c r="AA24">
        <f t="shared" si="12"/>
        <v>6.69E-5</v>
      </c>
      <c r="AB24">
        <f t="shared" si="13"/>
        <v>0</v>
      </c>
      <c r="AD24">
        <v>5</v>
      </c>
      <c r="AE24">
        <f t="shared" si="14"/>
        <v>5.0000000000000002E-5</v>
      </c>
      <c r="AF24">
        <f t="shared" si="15"/>
        <v>0</v>
      </c>
    </row>
    <row r="25" spans="1:32" x14ac:dyDescent="0.35">
      <c r="A25">
        <v>20000000</v>
      </c>
      <c r="B25">
        <v>10.8</v>
      </c>
      <c r="F25">
        <v>10.8</v>
      </c>
      <c r="J25">
        <v>10.8</v>
      </c>
      <c r="N25">
        <v>10.795</v>
      </c>
      <c r="R25">
        <v>6.99</v>
      </c>
      <c r="S25">
        <f t="shared" si="8"/>
        <v>3.495E-7</v>
      </c>
      <c r="V25">
        <v>7</v>
      </c>
      <c r="W25">
        <f t="shared" si="10"/>
        <v>3.4999999999999998E-7</v>
      </c>
      <c r="Z25">
        <v>6.99</v>
      </c>
      <c r="AA25">
        <f t="shared" si="12"/>
        <v>3.495E-7</v>
      </c>
      <c r="AD25">
        <v>5</v>
      </c>
      <c r="AE25">
        <f t="shared" si="14"/>
        <v>2.4999999999999999E-7</v>
      </c>
      <c r="AF25">
        <f t="shared" si="15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2025-11-06T19:58:46Z</dcterms:created>
  <dcterms:modified xsi:type="dcterms:W3CDTF">2026-01-06T15:41:23Z</dcterms:modified>
</cp:coreProperties>
</file>